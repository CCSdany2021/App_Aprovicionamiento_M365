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aprovisionamientoEstudiantes\archivos\"/>
    </mc:Choice>
  </mc:AlternateContent>
  <xr:revisionPtr revIDLastSave="0" documentId="13_ncr:1_{FD6BBDF8-66BB-4078-98FB-02EA198CE1B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EstudiantesNuev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2" i="1" l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</calcChain>
</file>

<file path=xl/sharedStrings.xml><?xml version="1.0" encoding="utf-8"?>
<sst xmlns="http://schemas.openxmlformats.org/spreadsheetml/2006/main" count="342" uniqueCount="59">
  <si>
    <t>CODIGO</t>
  </si>
  <si>
    <t>DOCUMENTO</t>
  </si>
  <si>
    <t>GRADO</t>
  </si>
  <si>
    <t>CURSO</t>
  </si>
  <si>
    <t>APELLIDOS</t>
  </si>
  <si>
    <t>NOMBRES</t>
  </si>
  <si>
    <t>Transicion</t>
  </si>
  <si>
    <t>TR1</t>
  </si>
  <si>
    <t>Rozo Pineda</t>
  </si>
  <si>
    <t>Daniel Santiago</t>
  </si>
  <si>
    <t>Primero</t>
  </si>
  <si>
    <t>Sanchez Mosquera</t>
  </si>
  <si>
    <t>Paula Alejandra</t>
  </si>
  <si>
    <t>Segundo</t>
  </si>
  <si>
    <t>Sarmiento Cantor</t>
  </si>
  <si>
    <t>Miguel Santiago</t>
  </si>
  <si>
    <t>Tercero</t>
  </si>
  <si>
    <t>Serna Ballesteros</t>
  </si>
  <si>
    <t xml:space="preserve">Alejandra </t>
  </si>
  <si>
    <t>Cuarto</t>
  </si>
  <si>
    <t>Tellez Pedraza</t>
  </si>
  <si>
    <t xml:space="preserve">Valentina </t>
  </si>
  <si>
    <t>Quinto</t>
  </si>
  <si>
    <t>Usma Niño</t>
  </si>
  <si>
    <t>Maria Paula</t>
  </si>
  <si>
    <t>Sexto</t>
  </si>
  <si>
    <t>Valbuena Gamboa</t>
  </si>
  <si>
    <t>Erick Santiago</t>
  </si>
  <si>
    <t>Septimo</t>
  </si>
  <si>
    <t>Velasquez Ortiz</t>
  </si>
  <si>
    <t>Cristian David</t>
  </si>
  <si>
    <t>Octavo</t>
  </si>
  <si>
    <t>Vera Molano</t>
  </si>
  <si>
    <t xml:space="preserve">Nicolas </t>
  </si>
  <si>
    <t>Undécimo</t>
  </si>
  <si>
    <t>Villamil Molina</t>
  </si>
  <si>
    <t>German Alfonso</t>
  </si>
  <si>
    <t>Maria Andrea</t>
  </si>
  <si>
    <t>Dany Ernesto</t>
  </si>
  <si>
    <t>USERPRINCIPALNAME</t>
  </si>
  <si>
    <t>displayName</t>
  </si>
  <si>
    <t>userPrincipalName2</t>
  </si>
  <si>
    <t>givenName</t>
  </si>
  <si>
    <t>surname</t>
  </si>
  <si>
    <t>mailNickname</t>
  </si>
  <si>
    <t>jobTitle</t>
  </si>
  <si>
    <t>department</t>
  </si>
  <si>
    <t>officeLocation</t>
  </si>
  <si>
    <t>mobilePhone</t>
  </si>
  <si>
    <t>usageLocation</t>
  </si>
  <si>
    <t>licenseSkuId</t>
  </si>
  <si>
    <t>passwordProfile</t>
  </si>
  <si>
    <t>Estudiante 2026</t>
  </si>
  <si>
    <t>Sección Preescolar</t>
  </si>
  <si>
    <t>Sección de Primaria 3-5</t>
  </si>
  <si>
    <t>Sección de Bachillerato 6-8</t>
  </si>
  <si>
    <t>CO</t>
  </si>
  <si>
    <t>314c4481-f395-4525-be8b-2ec4bb1e9d91</t>
  </si>
  <si>
    <t>TempPass123!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</si>
</sst>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3" fontId="0" fillId="0" borderId="0" xfId="0" applyNumberFormat="1" applyAlignment="1">
      <alignment horizontal="right"/>
    </xf>
    <xf numFmtId="0" fontId="0" fillId="0" borderId="0" xfId="0" applyAlignment="1"/>
    <xf numFmtId="3" fontId="1" fillId="0" borderId="1" xfId="0" applyNumberFormat="1" applyFont="1" applyBorder="1" applyAlignment="1">
      <alignment horizontal="right"/>
    </xf>
    <xf numFmtId="3" fontId="0" fillId="0" borderId="0" xfId="0" applyNumberFormat="1" applyAlignment="1">
      <alignment horizontal="right"/>
    </xf>
    <xf numFmtId="0" fontId="0" fillId="0" borderId="0" xfId="0" applyAlignment="1"/>
    <xf numFmtId="1" fontId="0" fillId="0" borderId="0" xfId="0" applyNumberFormat="1" applyAlignment="1">
      <alignment horizontal="right"/>
    </xf>
    <xf numFmtId="1" fontId="1" fillId="0" borderId="1" xfId="0" applyNumberFormat="1" applyFont="1" applyBorder="1" applyAlignment="1">
      <alignment horizontal="right"/>
    </xf>
  </cellXfs>
  <cellStyles count="1">
    <cellStyle name="Normal" xfId="0" builtinId="0"/>
  </cellStyles>
  <dxfs count="10">
    <dxf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" formatCode="0"/>
      <alignment horizontal="right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1" formatCode="0"/>
    </dxf>
    <dxf>
      <numFmt numFmtId="1" formatCode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studiantes" displayName="estudiantes" ref="A1:S30" totalsRowShown="0">
  <autoFilter ref="A1:S30" xr:uid="{00000000-0009-0000-0100-000001000000}"/>
  <tableColumns count="19">
    <tableColumn id="1" xr3:uid="{00000000-0010-0000-0000-000001000000}" name="CODIGO" dataDxfId="9"/>
    <tableColumn id="2" xr3:uid="{00000000-0010-0000-0000-000002000000}" name="DOCUMENTO" dataDxfId="8"/>
    <tableColumn id="3" xr3:uid="{00000000-0010-0000-0000-000003000000}" name="GRADO"/>
    <tableColumn id="4" xr3:uid="{00000000-0010-0000-0000-000004000000}" name="CURSO"/>
    <tableColumn id="5" xr3:uid="{00000000-0010-0000-0000-000005000000}" name="APELLIDOS"/>
    <tableColumn id="6" xr3:uid="{00000000-0010-0000-0000-000006000000}" name="NOMBRES"/>
    <tableColumn id="7" xr3:uid="{A93E072F-88DB-407E-9D75-5B672E0714EA}" name="USERPRINCIPALNAME" dataDxfId="6">
      <calculatedColumnFormula>_xlfn.CONCAT(estudiantes[[#This Row],[CODIGO]],"@calasanzsuba.edu.co")</calculatedColumnFormula>
    </tableColumn>
    <tableColumn id="8" xr3:uid="{268E667E-1FA5-4372-811C-6DC16C1C11D2}" name="displayName" dataDxfId="7">
      <calculatedColumnFormula>_xlfn.CONCAT("Estudiante - ",estudiantes[[#This Row],[GRADO]],": ",estudiantes[[#This Row],[APELLIDOS]]," ",estudiantes[[#This Row],[NOMBRES]])</calculatedColumnFormula>
    </tableColumn>
    <tableColumn id="9" xr3:uid="{B11D559C-033E-46AC-87DF-D765D2061C4C}" name="userPrincipalName2" dataDxfId="5">
      <calculatedColumnFormula>_xlfn.CONCAT(estudiantes[[#This Row],[CODIGO]],"@calasanzsuba.edu.co")</calculatedColumnFormula>
    </tableColumn>
    <tableColumn id="10" xr3:uid="{052753F4-C858-4169-A4C1-D3A71F2AFCAF}" name="givenName" dataDxfId="3"/>
    <tableColumn id="11" xr3:uid="{7D5E9C31-E03C-4CD3-AA76-4330F260048F}" name="surname" dataDxfId="4"/>
    <tableColumn id="12" xr3:uid="{53EAC6A8-3FE8-454B-81EA-B368C9845D87}" name="mailNickname" dataDxfId="2"/>
    <tableColumn id="13" xr3:uid="{4DA11557-2768-4CE6-9CFA-6CA49BF0BB36}" name="jobTitle" dataDxfId="1"/>
    <tableColumn id="14" xr3:uid="{5984FE42-9078-492F-8D61-3701136A01B5}" name="department"/>
    <tableColumn id="15" xr3:uid="{1DE73BCD-F807-4614-9213-E3A324EA2813}" name="officeLocation"/>
    <tableColumn id="16" xr3:uid="{47602591-50BD-435F-BEEB-4B15412366CC}" name="mobilePhone" dataDxfId="0"/>
    <tableColumn id="17" xr3:uid="{85CC4F10-0AF4-4088-8881-6B060B5FC3A5}" name="usageLocation"/>
    <tableColumn id="18" xr3:uid="{629798C9-A6D5-4340-9679-0A5EDDAFC891}" name="licenseSkuId"/>
    <tableColumn id="19" xr3:uid="{386064C6-0B94-4EE9-BB1C-B25A850C1162}" name="passwordProfil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S30"/>
  <sheetViews>
    <sheetView tabSelected="1" topLeftCell="J5" workbookViewId="0">
      <selection activeCell="H1" sqref="H1:S30"/>
    </sheetView>
  </sheetViews>
  <sheetFormatPr baseColWidth="10" defaultColWidth="9.109375" defaultRowHeight="14.4" x14ac:dyDescent="0.3"/>
  <cols>
    <col min="1" max="1" width="27.44140625" style="6" customWidth="1"/>
    <col min="2" max="2" width="24.5546875" style="6" customWidth="1"/>
    <col min="3" max="3" width="17.6640625" style="5" customWidth="1"/>
    <col min="4" max="4" width="13.5546875" style="4" bestFit="1" customWidth="1"/>
    <col min="5" max="5" width="18" style="5" customWidth="1"/>
    <col min="6" max="6" width="23.6640625" style="5" bestFit="1" customWidth="1"/>
    <col min="7" max="7" width="30.44140625" customWidth="1"/>
    <col min="8" max="8" width="49.44140625" customWidth="1"/>
    <col min="9" max="9" width="32.109375" customWidth="1"/>
    <col min="10" max="10" width="15.33203125" customWidth="1"/>
    <col min="11" max="11" width="19" customWidth="1"/>
    <col min="12" max="12" width="13.77734375" customWidth="1"/>
    <col min="14" max="14" width="16.77734375" customWidth="1"/>
    <col min="15" max="15" width="29.33203125" customWidth="1"/>
    <col min="16" max="16" width="13.6640625" customWidth="1"/>
    <col min="17" max="17" width="6.109375" customWidth="1"/>
    <col min="18" max="18" width="27.5546875" customWidth="1"/>
    <col min="19" max="19" width="16.33203125" customWidth="1"/>
  </cols>
  <sheetData>
    <row r="1" spans="1:19" ht="18.75" customHeight="1" x14ac:dyDescent="0.3">
      <c r="A1" s="6" t="s">
        <v>0</v>
      </c>
      <c r="B1" s="6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  <c r="M1" t="s">
        <v>45</v>
      </c>
      <c r="N1" t="s">
        <v>46</v>
      </c>
      <c r="O1" t="s">
        <v>47</v>
      </c>
      <c r="P1" t="s">
        <v>48</v>
      </c>
      <c r="Q1" t="s">
        <v>49</v>
      </c>
      <c r="R1" t="s">
        <v>50</v>
      </c>
      <c r="S1" t="s">
        <v>51</v>
      </c>
    </row>
    <row r="2" spans="1:19" ht="18.75" customHeight="1" x14ac:dyDescent="0.3">
      <c r="A2" s="7">
        <v>40302011</v>
      </c>
      <c r="B2" s="7">
        <v>1223344556</v>
      </c>
      <c r="C2" s="2" t="s">
        <v>6</v>
      </c>
      <c r="D2" s="1" t="s">
        <v>7</v>
      </c>
      <c r="E2" s="2" t="s">
        <v>8</v>
      </c>
      <c r="F2" s="2" t="s">
        <v>9</v>
      </c>
      <c r="G2" t="str">
        <f>_xlfn.CONCAT(estudiantes[[#This Row],[CODIGO]],"@calasanzsuba.edu.co")</f>
        <v>40302011@calasanzsuba.edu.co</v>
      </c>
      <c r="H2" t="str">
        <f>_xlfn.CONCAT("Estudiante - ",estudiantes[[#This Row],[GRADO]],": ",estudiantes[[#This Row],[APELLIDOS]]," ",estudiantes[[#This Row],[NOMBRES]])</f>
        <v>Estudiante - Transicion: Rozo Pineda Daniel Santiago</v>
      </c>
      <c r="I2" t="str">
        <f>_xlfn.CONCAT(estudiantes[[#This Row],[CODIGO]],"@calasanzsuba.edu.co")</f>
        <v>40302011@calasanzsuba.edu.co</v>
      </c>
      <c r="J2" s="5" t="s">
        <v>9</v>
      </c>
      <c r="K2" s="5" t="s">
        <v>8</v>
      </c>
      <c r="L2" s="7">
        <v>40302011</v>
      </c>
      <c r="M2" s="4" t="s">
        <v>7</v>
      </c>
      <c r="N2" t="s">
        <v>52</v>
      </c>
      <c r="O2" t="s">
        <v>53</v>
      </c>
      <c r="P2" s="5" t="s">
        <v>6</v>
      </c>
      <c r="Q2" t="s">
        <v>56</v>
      </c>
      <c r="R2" t="s">
        <v>57</v>
      </c>
      <c r="S2" t="s">
        <v>58</v>
      </c>
    </row>
    <row r="3" spans="1:19" ht="18.75" customHeight="1" x14ac:dyDescent="0.3">
      <c r="A3" s="7">
        <v>40302012</v>
      </c>
      <c r="B3" s="7">
        <v>1223344557</v>
      </c>
      <c r="C3" s="2" t="s">
        <v>10</v>
      </c>
      <c r="D3" s="3">
        <v>101</v>
      </c>
      <c r="E3" s="2" t="s">
        <v>11</v>
      </c>
      <c r="F3" s="2" t="s">
        <v>12</v>
      </c>
      <c r="G3" t="str">
        <f>_xlfn.CONCAT(estudiantes[[#This Row],[CODIGO]],"@calasanzsuba.edu.co")</f>
        <v>40302012@calasanzsuba.edu.co</v>
      </c>
      <c r="H3" t="str">
        <f>_xlfn.CONCAT("Estudiante - ",estudiantes[[#This Row],[GRADO]],": ",estudiantes[[#This Row],[APELLIDOS]]," ",estudiantes[[#This Row],[NOMBRES]])</f>
        <v>Estudiante - Primero: Sanchez Mosquera Paula Alejandra</v>
      </c>
      <c r="I3" t="str">
        <f>_xlfn.CONCAT(estudiantes[[#This Row],[CODIGO]],"@calasanzsuba.edu.co")</f>
        <v>40302012@calasanzsuba.edu.co</v>
      </c>
      <c r="J3" s="5" t="s">
        <v>12</v>
      </c>
      <c r="K3" s="5" t="s">
        <v>11</v>
      </c>
      <c r="L3" s="7">
        <v>40302012</v>
      </c>
      <c r="M3" s="3">
        <v>101</v>
      </c>
      <c r="N3" t="s">
        <v>52</v>
      </c>
      <c r="O3" t="s">
        <v>53</v>
      </c>
      <c r="P3" s="5" t="s">
        <v>10</v>
      </c>
      <c r="Q3" t="s">
        <v>56</v>
      </c>
      <c r="R3" t="s">
        <v>57</v>
      </c>
      <c r="S3" t="s">
        <v>58</v>
      </c>
    </row>
    <row r="4" spans="1:19" ht="18.75" customHeight="1" x14ac:dyDescent="0.3">
      <c r="A4" s="7">
        <v>40302013</v>
      </c>
      <c r="B4" s="7">
        <v>1223344558</v>
      </c>
      <c r="C4" s="2" t="s">
        <v>13</v>
      </c>
      <c r="D4" s="3">
        <v>201</v>
      </c>
      <c r="E4" s="2" t="s">
        <v>14</v>
      </c>
      <c r="F4" s="2" t="s">
        <v>15</v>
      </c>
      <c r="G4" t="str">
        <f>_xlfn.CONCAT(estudiantes[[#This Row],[CODIGO]],"@calasanzsuba.edu.co")</f>
        <v>40302013@calasanzsuba.edu.co</v>
      </c>
      <c r="H4" t="str">
        <f>_xlfn.CONCAT("Estudiante - ",estudiantes[[#This Row],[GRADO]],": ",estudiantes[[#This Row],[APELLIDOS]]," ",estudiantes[[#This Row],[NOMBRES]])</f>
        <v>Estudiante - Segundo: Sarmiento Cantor Miguel Santiago</v>
      </c>
      <c r="I4" t="str">
        <f>_xlfn.CONCAT(estudiantes[[#This Row],[CODIGO]],"@calasanzsuba.edu.co")</f>
        <v>40302013@calasanzsuba.edu.co</v>
      </c>
      <c r="J4" s="5" t="s">
        <v>15</v>
      </c>
      <c r="K4" s="5" t="s">
        <v>14</v>
      </c>
      <c r="L4" s="7">
        <v>40302013</v>
      </c>
      <c r="M4" s="3">
        <v>201</v>
      </c>
      <c r="N4" t="s">
        <v>52</v>
      </c>
      <c r="O4" t="s">
        <v>53</v>
      </c>
      <c r="P4" s="5" t="s">
        <v>13</v>
      </c>
      <c r="Q4" t="s">
        <v>56</v>
      </c>
      <c r="R4" t="s">
        <v>57</v>
      </c>
      <c r="S4" t="s">
        <v>58</v>
      </c>
    </row>
    <row r="5" spans="1:19" ht="18.75" customHeight="1" x14ac:dyDescent="0.3">
      <c r="A5" s="7">
        <v>40302014</v>
      </c>
      <c r="B5" s="7">
        <v>1223344559</v>
      </c>
      <c r="C5" s="2" t="s">
        <v>16</v>
      </c>
      <c r="D5" s="3">
        <v>302</v>
      </c>
      <c r="E5" s="2" t="s">
        <v>17</v>
      </c>
      <c r="F5" s="2" t="s">
        <v>18</v>
      </c>
      <c r="G5" t="str">
        <f>_xlfn.CONCAT(estudiantes[[#This Row],[CODIGO]],"@calasanzsuba.edu.co")</f>
        <v>40302014@calasanzsuba.edu.co</v>
      </c>
      <c r="H5" t="str">
        <f>_xlfn.CONCAT("Estudiante - ",estudiantes[[#This Row],[GRADO]],": ",estudiantes[[#This Row],[APELLIDOS]]," ",estudiantes[[#This Row],[NOMBRES]])</f>
        <v xml:space="preserve">Estudiante - Tercero: Serna Ballesteros Alejandra </v>
      </c>
      <c r="I5" t="str">
        <f>_xlfn.CONCAT(estudiantes[[#This Row],[CODIGO]],"@calasanzsuba.edu.co")</f>
        <v>40302014@calasanzsuba.edu.co</v>
      </c>
      <c r="J5" s="5" t="s">
        <v>18</v>
      </c>
      <c r="K5" s="5" t="s">
        <v>17</v>
      </c>
      <c r="L5" s="7">
        <v>40302014</v>
      </c>
      <c r="M5" s="3">
        <v>302</v>
      </c>
      <c r="N5" t="s">
        <v>52</v>
      </c>
      <c r="O5" t="s">
        <v>54</v>
      </c>
      <c r="P5" s="5" t="s">
        <v>16</v>
      </c>
      <c r="Q5" t="s">
        <v>56</v>
      </c>
      <c r="R5" t="s">
        <v>57</v>
      </c>
      <c r="S5" t="s">
        <v>58</v>
      </c>
    </row>
    <row r="6" spans="1:19" ht="18.75" customHeight="1" x14ac:dyDescent="0.3">
      <c r="A6" s="7">
        <v>40302015</v>
      </c>
      <c r="B6" s="7">
        <v>1223344560</v>
      </c>
      <c r="C6" s="2" t="s">
        <v>19</v>
      </c>
      <c r="D6" s="3">
        <v>401</v>
      </c>
      <c r="E6" s="2" t="s">
        <v>20</v>
      </c>
      <c r="F6" s="2" t="s">
        <v>21</v>
      </c>
      <c r="G6" t="str">
        <f>_xlfn.CONCAT(estudiantes[[#This Row],[CODIGO]],"@calasanzsuba.edu.co")</f>
        <v>40302015@calasanzsuba.edu.co</v>
      </c>
      <c r="H6" t="str">
        <f>_xlfn.CONCAT("Estudiante - ",estudiantes[[#This Row],[GRADO]],": ",estudiantes[[#This Row],[APELLIDOS]]," ",estudiantes[[#This Row],[NOMBRES]])</f>
        <v xml:space="preserve">Estudiante - Cuarto: Tellez Pedraza Valentina </v>
      </c>
      <c r="I6" t="str">
        <f>_xlfn.CONCAT(estudiantes[[#This Row],[CODIGO]],"@calasanzsuba.edu.co")</f>
        <v>40302015@calasanzsuba.edu.co</v>
      </c>
      <c r="J6" s="5" t="s">
        <v>21</v>
      </c>
      <c r="K6" s="5" t="s">
        <v>20</v>
      </c>
      <c r="L6" s="7">
        <v>40302015</v>
      </c>
      <c r="M6" s="3">
        <v>401</v>
      </c>
      <c r="N6" t="s">
        <v>52</v>
      </c>
      <c r="O6" t="s">
        <v>54</v>
      </c>
      <c r="P6" s="5" t="s">
        <v>19</v>
      </c>
      <c r="Q6" t="s">
        <v>56</v>
      </c>
      <c r="R6" t="s">
        <v>57</v>
      </c>
      <c r="S6" t="s">
        <v>58</v>
      </c>
    </row>
    <row r="7" spans="1:19" ht="18.75" customHeight="1" x14ac:dyDescent="0.3">
      <c r="A7" s="7">
        <v>40302016</v>
      </c>
      <c r="B7" s="7">
        <v>1223344561</v>
      </c>
      <c r="C7" s="2" t="s">
        <v>22</v>
      </c>
      <c r="D7" s="3">
        <v>502</v>
      </c>
      <c r="E7" s="2" t="s">
        <v>23</v>
      </c>
      <c r="F7" s="2" t="s">
        <v>24</v>
      </c>
      <c r="G7" t="str">
        <f>_xlfn.CONCAT(estudiantes[[#This Row],[CODIGO]],"@calasanzsuba.edu.co")</f>
        <v>40302016@calasanzsuba.edu.co</v>
      </c>
      <c r="H7" t="str">
        <f>_xlfn.CONCAT("Estudiante - ",estudiantes[[#This Row],[GRADO]],": ",estudiantes[[#This Row],[APELLIDOS]]," ",estudiantes[[#This Row],[NOMBRES]])</f>
        <v>Estudiante - Quinto: Usma Niño Maria Paula</v>
      </c>
      <c r="I7" t="str">
        <f>_xlfn.CONCAT(estudiantes[[#This Row],[CODIGO]],"@calasanzsuba.edu.co")</f>
        <v>40302016@calasanzsuba.edu.co</v>
      </c>
      <c r="J7" s="5" t="s">
        <v>24</v>
      </c>
      <c r="K7" s="5" t="s">
        <v>23</v>
      </c>
      <c r="L7" s="7">
        <v>40302016</v>
      </c>
      <c r="M7" s="3">
        <v>502</v>
      </c>
      <c r="N7" t="s">
        <v>52</v>
      </c>
      <c r="O7" t="s">
        <v>54</v>
      </c>
      <c r="P7" s="5" t="s">
        <v>22</v>
      </c>
      <c r="Q7" t="s">
        <v>56</v>
      </c>
      <c r="R7" t="s">
        <v>57</v>
      </c>
      <c r="S7" t="s">
        <v>58</v>
      </c>
    </row>
    <row r="8" spans="1:19" ht="18.75" customHeight="1" x14ac:dyDescent="0.3">
      <c r="A8" s="7">
        <v>40302017</v>
      </c>
      <c r="B8" s="7">
        <v>1223344562</v>
      </c>
      <c r="C8" s="2" t="s">
        <v>25</v>
      </c>
      <c r="D8" s="3">
        <v>602</v>
      </c>
      <c r="E8" s="2" t="s">
        <v>26</v>
      </c>
      <c r="F8" s="2" t="s">
        <v>27</v>
      </c>
      <c r="G8" t="str">
        <f>_xlfn.CONCAT(estudiantes[[#This Row],[CODIGO]],"@calasanzsuba.edu.co")</f>
        <v>40302017@calasanzsuba.edu.co</v>
      </c>
      <c r="H8" t="str">
        <f>_xlfn.CONCAT("Estudiante - ",estudiantes[[#This Row],[GRADO]],": ",estudiantes[[#This Row],[APELLIDOS]]," ",estudiantes[[#This Row],[NOMBRES]])</f>
        <v>Estudiante - Sexto: Valbuena Gamboa Erick Santiago</v>
      </c>
      <c r="I8" t="str">
        <f>_xlfn.CONCAT(estudiantes[[#This Row],[CODIGO]],"@calasanzsuba.edu.co")</f>
        <v>40302017@calasanzsuba.edu.co</v>
      </c>
      <c r="J8" s="5" t="s">
        <v>27</v>
      </c>
      <c r="K8" s="5" t="s">
        <v>26</v>
      </c>
      <c r="L8" s="7">
        <v>40302017</v>
      </c>
      <c r="M8" s="3">
        <v>602</v>
      </c>
      <c r="N8" t="s">
        <v>52</v>
      </c>
      <c r="O8" t="s">
        <v>55</v>
      </c>
      <c r="P8" s="5" t="s">
        <v>25</v>
      </c>
      <c r="Q8" t="s">
        <v>56</v>
      </c>
      <c r="R8" t="s">
        <v>57</v>
      </c>
      <c r="S8" t="s">
        <v>58</v>
      </c>
    </row>
    <row r="9" spans="1:19" ht="18.75" customHeight="1" x14ac:dyDescent="0.3">
      <c r="A9" s="7">
        <v>40302018</v>
      </c>
      <c r="B9" s="7">
        <v>1223344563</v>
      </c>
      <c r="C9" s="2" t="s">
        <v>28</v>
      </c>
      <c r="D9" s="3">
        <v>701</v>
      </c>
      <c r="E9" s="2" t="s">
        <v>29</v>
      </c>
      <c r="F9" s="2" t="s">
        <v>30</v>
      </c>
      <c r="G9" t="str">
        <f>_xlfn.CONCAT(estudiantes[[#This Row],[CODIGO]],"@calasanzsuba.edu.co")</f>
        <v>40302018@calasanzsuba.edu.co</v>
      </c>
      <c r="H9" t="str">
        <f>_xlfn.CONCAT("Estudiante - ",estudiantes[[#This Row],[GRADO]],": ",estudiantes[[#This Row],[APELLIDOS]]," ",estudiantes[[#This Row],[NOMBRES]])</f>
        <v>Estudiante - Septimo: Velasquez Ortiz Cristian David</v>
      </c>
      <c r="I9" t="str">
        <f>_xlfn.CONCAT(estudiantes[[#This Row],[CODIGO]],"@calasanzsuba.edu.co")</f>
        <v>40302018@calasanzsuba.edu.co</v>
      </c>
      <c r="J9" s="5" t="s">
        <v>30</v>
      </c>
      <c r="K9" s="5" t="s">
        <v>29</v>
      </c>
      <c r="L9" s="7">
        <v>40302018</v>
      </c>
      <c r="M9" s="3">
        <v>701</v>
      </c>
      <c r="N9" t="s">
        <v>52</v>
      </c>
      <c r="O9" t="s">
        <v>55</v>
      </c>
      <c r="P9" s="5" t="s">
        <v>28</v>
      </c>
      <c r="Q9" t="s">
        <v>56</v>
      </c>
      <c r="R9" t="s">
        <v>57</v>
      </c>
      <c r="S9" t="s">
        <v>58</v>
      </c>
    </row>
    <row r="10" spans="1:19" ht="18.75" customHeight="1" x14ac:dyDescent="0.3">
      <c r="A10" s="7">
        <v>40302019</v>
      </c>
      <c r="B10" s="7">
        <v>1223344564</v>
      </c>
      <c r="C10" s="2" t="s">
        <v>31</v>
      </c>
      <c r="D10" s="3">
        <v>802</v>
      </c>
      <c r="E10" s="2" t="s">
        <v>32</v>
      </c>
      <c r="F10" s="2" t="s">
        <v>33</v>
      </c>
      <c r="G10" t="str">
        <f>_xlfn.CONCAT(estudiantes[[#This Row],[CODIGO]],"@calasanzsuba.edu.co")</f>
        <v>40302019@calasanzsuba.edu.co</v>
      </c>
      <c r="H10" t="str">
        <f>_xlfn.CONCAT("Estudiante - ",estudiantes[[#This Row],[GRADO]],": ",estudiantes[[#This Row],[APELLIDOS]]," ",estudiantes[[#This Row],[NOMBRES]])</f>
        <v xml:space="preserve">Estudiante - Octavo: Vera Molano Nicolas </v>
      </c>
      <c r="I10" t="str">
        <f>_xlfn.CONCAT(estudiantes[[#This Row],[CODIGO]],"@calasanzsuba.edu.co")</f>
        <v>40302019@calasanzsuba.edu.co</v>
      </c>
      <c r="J10" s="5" t="s">
        <v>33</v>
      </c>
      <c r="K10" s="5" t="s">
        <v>32</v>
      </c>
      <c r="L10" s="7">
        <v>40302019</v>
      </c>
      <c r="M10" s="3">
        <v>802</v>
      </c>
      <c r="N10" t="s">
        <v>52</v>
      </c>
      <c r="O10" t="s">
        <v>55</v>
      </c>
      <c r="P10" s="5" t="s">
        <v>31</v>
      </c>
      <c r="Q10" t="s">
        <v>56</v>
      </c>
      <c r="R10" t="s">
        <v>57</v>
      </c>
      <c r="S10" t="s">
        <v>58</v>
      </c>
    </row>
    <row r="11" spans="1:19" ht="18.75" customHeight="1" x14ac:dyDescent="0.3">
      <c r="A11" s="7">
        <v>40302020</v>
      </c>
      <c r="B11" s="7">
        <v>1223344565</v>
      </c>
      <c r="C11" s="2" t="s">
        <v>34</v>
      </c>
      <c r="D11" s="3">
        <v>903</v>
      </c>
      <c r="E11" s="2" t="s">
        <v>35</v>
      </c>
      <c r="F11" s="2" t="s">
        <v>36</v>
      </c>
      <c r="G11" t="str">
        <f>_xlfn.CONCAT(estudiantes[[#This Row],[CODIGO]],"@calasanzsuba.edu.co")</f>
        <v>40302020@calasanzsuba.edu.co</v>
      </c>
      <c r="H11" t="str">
        <f>_xlfn.CONCAT("Estudiante - ",estudiantes[[#This Row],[GRADO]],": ",estudiantes[[#This Row],[APELLIDOS]]," ",estudiantes[[#This Row],[NOMBRES]])</f>
        <v>Estudiante - Undécimo: Villamil Molina German Alfonso</v>
      </c>
      <c r="I11" t="str">
        <f>_xlfn.CONCAT(estudiantes[[#This Row],[CODIGO]],"@calasanzsuba.edu.co")</f>
        <v>40302020@calasanzsuba.edu.co</v>
      </c>
      <c r="J11" s="5" t="s">
        <v>36</v>
      </c>
      <c r="K11" s="5" t="s">
        <v>35</v>
      </c>
      <c r="L11" s="7">
        <v>40302020</v>
      </c>
      <c r="M11" s="3">
        <v>903</v>
      </c>
      <c r="N11" t="s">
        <v>52</v>
      </c>
      <c r="P11" s="5" t="s">
        <v>34</v>
      </c>
      <c r="Q11" t="s">
        <v>56</v>
      </c>
      <c r="R11" t="s">
        <v>57</v>
      </c>
      <c r="S11" t="s">
        <v>58</v>
      </c>
    </row>
    <row r="12" spans="1:19" x14ac:dyDescent="0.3">
      <c r="A12" s="7">
        <v>40302021</v>
      </c>
      <c r="B12" s="7">
        <v>1223344566</v>
      </c>
      <c r="C12" s="5" t="s">
        <v>6</v>
      </c>
      <c r="D12" s="4" t="s">
        <v>7</v>
      </c>
      <c r="E12" s="5" t="s">
        <v>14</v>
      </c>
      <c r="F12" s="5" t="s">
        <v>24</v>
      </c>
      <c r="G12" t="str">
        <f>_xlfn.CONCAT(estudiantes[[#This Row],[CODIGO]],"@calasanzsuba.edu.co")</f>
        <v>40302021@calasanzsuba.edu.co</v>
      </c>
      <c r="H12" t="str">
        <f>_xlfn.CONCAT("Estudiante - ",estudiantes[[#This Row],[GRADO]],": ",estudiantes[[#This Row],[APELLIDOS]]," ",estudiantes[[#This Row],[NOMBRES]])</f>
        <v>Estudiante - Transicion: Sarmiento Cantor Maria Paula</v>
      </c>
      <c r="I12" t="str">
        <f>_xlfn.CONCAT(estudiantes[[#This Row],[CODIGO]],"@calasanzsuba.edu.co")</f>
        <v>40302021@calasanzsuba.edu.co</v>
      </c>
      <c r="J12" s="5" t="s">
        <v>24</v>
      </c>
      <c r="K12" s="5" t="s">
        <v>14</v>
      </c>
      <c r="L12" s="7">
        <v>40302021</v>
      </c>
      <c r="M12" s="4" t="s">
        <v>7</v>
      </c>
      <c r="N12" t="s">
        <v>52</v>
      </c>
      <c r="O12" t="s">
        <v>53</v>
      </c>
      <c r="P12" s="5" t="s">
        <v>6</v>
      </c>
      <c r="Q12" t="s">
        <v>56</v>
      </c>
      <c r="R12" t="s">
        <v>57</v>
      </c>
      <c r="S12" t="s">
        <v>58</v>
      </c>
    </row>
    <row r="13" spans="1:19" x14ac:dyDescent="0.3">
      <c r="A13" s="7">
        <v>40302022</v>
      </c>
      <c r="B13" s="7">
        <v>1223344567</v>
      </c>
      <c r="C13" s="5" t="s">
        <v>10</v>
      </c>
      <c r="D13" s="3">
        <v>101</v>
      </c>
      <c r="E13" s="5" t="s">
        <v>17</v>
      </c>
      <c r="F13" s="5" t="s">
        <v>27</v>
      </c>
      <c r="G13" t="str">
        <f>_xlfn.CONCAT(estudiantes[[#This Row],[CODIGO]],"@calasanzsuba.edu.co")</f>
        <v>40302022@calasanzsuba.edu.co</v>
      </c>
      <c r="H13" t="str">
        <f>_xlfn.CONCAT("Estudiante - ",estudiantes[[#This Row],[GRADO]],": ",estudiantes[[#This Row],[APELLIDOS]]," ",estudiantes[[#This Row],[NOMBRES]])</f>
        <v>Estudiante - Primero: Serna Ballesteros Erick Santiago</v>
      </c>
      <c r="I13" t="str">
        <f>_xlfn.CONCAT(estudiantes[[#This Row],[CODIGO]],"@calasanzsuba.edu.co")</f>
        <v>40302022@calasanzsuba.edu.co</v>
      </c>
      <c r="J13" s="5" t="s">
        <v>27</v>
      </c>
      <c r="K13" s="5" t="s">
        <v>17</v>
      </c>
      <c r="L13" s="7">
        <v>40302022</v>
      </c>
      <c r="M13" s="3">
        <v>101</v>
      </c>
      <c r="N13" t="s">
        <v>52</v>
      </c>
      <c r="O13" t="s">
        <v>53</v>
      </c>
      <c r="P13" s="5" t="s">
        <v>10</v>
      </c>
      <c r="Q13" t="s">
        <v>56</v>
      </c>
      <c r="R13" t="s">
        <v>57</v>
      </c>
      <c r="S13" t="s">
        <v>58</v>
      </c>
    </row>
    <row r="14" spans="1:19" x14ac:dyDescent="0.3">
      <c r="A14" s="7">
        <v>40302023</v>
      </c>
      <c r="B14" s="7">
        <v>1223344568</v>
      </c>
      <c r="C14" s="5" t="s">
        <v>13</v>
      </c>
      <c r="D14" s="3">
        <v>201</v>
      </c>
      <c r="E14" s="5" t="s">
        <v>20</v>
      </c>
      <c r="F14" s="5" t="s">
        <v>30</v>
      </c>
      <c r="G14" t="str">
        <f>_xlfn.CONCAT(estudiantes[[#This Row],[CODIGO]],"@calasanzsuba.edu.co")</f>
        <v>40302023@calasanzsuba.edu.co</v>
      </c>
      <c r="H14" t="str">
        <f>_xlfn.CONCAT("Estudiante - ",estudiantes[[#This Row],[GRADO]],": ",estudiantes[[#This Row],[APELLIDOS]]," ",estudiantes[[#This Row],[NOMBRES]])</f>
        <v>Estudiante - Segundo: Tellez Pedraza Cristian David</v>
      </c>
      <c r="I14" t="str">
        <f>_xlfn.CONCAT(estudiantes[[#This Row],[CODIGO]],"@calasanzsuba.edu.co")</f>
        <v>40302023@calasanzsuba.edu.co</v>
      </c>
      <c r="J14" s="5" t="s">
        <v>30</v>
      </c>
      <c r="K14" s="5" t="s">
        <v>20</v>
      </c>
      <c r="L14" s="7">
        <v>40302023</v>
      </c>
      <c r="M14" s="3">
        <v>201</v>
      </c>
      <c r="N14" t="s">
        <v>52</v>
      </c>
      <c r="O14" t="s">
        <v>53</v>
      </c>
      <c r="P14" s="5" t="s">
        <v>13</v>
      </c>
      <c r="Q14" t="s">
        <v>56</v>
      </c>
      <c r="R14" t="s">
        <v>57</v>
      </c>
      <c r="S14" t="s">
        <v>58</v>
      </c>
    </row>
    <row r="15" spans="1:19" x14ac:dyDescent="0.3">
      <c r="A15" s="7">
        <v>40302024</v>
      </c>
      <c r="B15" s="7">
        <v>1223344569</v>
      </c>
      <c r="C15" s="5" t="s">
        <v>16</v>
      </c>
      <c r="D15" s="3">
        <v>302</v>
      </c>
      <c r="E15" s="5" t="s">
        <v>23</v>
      </c>
      <c r="F15" s="5" t="s">
        <v>33</v>
      </c>
      <c r="G15" t="str">
        <f>_xlfn.CONCAT(estudiantes[[#This Row],[CODIGO]],"@calasanzsuba.edu.co")</f>
        <v>40302024@calasanzsuba.edu.co</v>
      </c>
      <c r="H15" t="str">
        <f>_xlfn.CONCAT("Estudiante - ",estudiantes[[#This Row],[GRADO]],": ",estudiantes[[#This Row],[APELLIDOS]]," ",estudiantes[[#This Row],[NOMBRES]])</f>
        <v xml:space="preserve">Estudiante - Tercero: Usma Niño Nicolas </v>
      </c>
      <c r="I15" t="str">
        <f>_xlfn.CONCAT(estudiantes[[#This Row],[CODIGO]],"@calasanzsuba.edu.co")</f>
        <v>40302024@calasanzsuba.edu.co</v>
      </c>
      <c r="J15" s="5" t="s">
        <v>33</v>
      </c>
      <c r="K15" s="5" t="s">
        <v>23</v>
      </c>
      <c r="L15" s="7">
        <v>40302024</v>
      </c>
      <c r="M15" s="3">
        <v>302</v>
      </c>
      <c r="N15" t="s">
        <v>52</v>
      </c>
      <c r="O15" t="s">
        <v>54</v>
      </c>
      <c r="P15" s="5" t="s">
        <v>16</v>
      </c>
      <c r="Q15" t="s">
        <v>56</v>
      </c>
      <c r="R15" t="s">
        <v>57</v>
      </c>
      <c r="S15" t="s">
        <v>58</v>
      </c>
    </row>
    <row r="16" spans="1:19" x14ac:dyDescent="0.3">
      <c r="A16" s="7">
        <v>40302025</v>
      </c>
      <c r="B16" s="7">
        <v>1223344570</v>
      </c>
      <c r="C16" s="5" t="s">
        <v>19</v>
      </c>
      <c r="D16" s="3">
        <v>401</v>
      </c>
      <c r="E16" s="5" t="s">
        <v>35</v>
      </c>
      <c r="F16" s="5" t="s">
        <v>38</v>
      </c>
      <c r="G16" t="str">
        <f>_xlfn.CONCAT(estudiantes[[#This Row],[CODIGO]],"@calasanzsuba.edu.co")</f>
        <v>40302025@calasanzsuba.edu.co</v>
      </c>
      <c r="H16" t="str">
        <f>_xlfn.CONCAT("Estudiante - ",estudiantes[[#This Row],[GRADO]],": ",estudiantes[[#This Row],[APELLIDOS]]," ",estudiantes[[#This Row],[NOMBRES]])</f>
        <v>Estudiante - Cuarto: Villamil Molina Dany Ernesto</v>
      </c>
      <c r="I16" t="str">
        <f>_xlfn.CONCAT(estudiantes[[#This Row],[CODIGO]],"@calasanzsuba.edu.co")</f>
        <v>40302025@calasanzsuba.edu.co</v>
      </c>
      <c r="J16" s="5" t="s">
        <v>38</v>
      </c>
      <c r="K16" s="5" t="s">
        <v>35</v>
      </c>
      <c r="L16" s="7">
        <v>40302025</v>
      </c>
      <c r="M16" s="3">
        <v>401</v>
      </c>
      <c r="N16" t="s">
        <v>52</v>
      </c>
      <c r="O16" t="s">
        <v>54</v>
      </c>
      <c r="P16" s="5" t="s">
        <v>19</v>
      </c>
      <c r="Q16" t="s">
        <v>56</v>
      </c>
      <c r="R16" t="s">
        <v>57</v>
      </c>
      <c r="S16" t="s">
        <v>58</v>
      </c>
    </row>
    <row r="17" spans="1:19" x14ac:dyDescent="0.3">
      <c r="A17" s="7">
        <v>40302026</v>
      </c>
      <c r="B17" s="7">
        <v>1223344571</v>
      </c>
      <c r="C17" s="5" t="s">
        <v>22</v>
      </c>
      <c r="D17" s="3">
        <v>502</v>
      </c>
      <c r="E17" s="5" t="s">
        <v>14</v>
      </c>
      <c r="F17" s="5" t="s">
        <v>36</v>
      </c>
      <c r="G17" t="str">
        <f>_xlfn.CONCAT(estudiantes[[#This Row],[CODIGO]],"@calasanzsuba.edu.co")</f>
        <v>40302026@calasanzsuba.edu.co</v>
      </c>
      <c r="H17" t="str">
        <f>_xlfn.CONCAT("Estudiante - ",estudiantes[[#This Row],[GRADO]],": ",estudiantes[[#This Row],[APELLIDOS]]," ",estudiantes[[#This Row],[NOMBRES]])</f>
        <v>Estudiante - Quinto: Sarmiento Cantor German Alfonso</v>
      </c>
      <c r="I17" t="str">
        <f>_xlfn.CONCAT(estudiantes[[#This Row],[CODIGO]],"@calasanzsuba.edu.co")</f>
        <v>40302026@calasanzsuba.edu.co</v>
      </c>
      <c r="J17" s="5" t="s">
        <v>36</v>
      </c>
      <c r="K17" s="5" t="s">
        <v>14</v>
      </c>
      <c r="L17" s="7">
        <v>40302026</v>
      </c>
      <c r="M17" s="3">
        <v>502</v>
      </c>
      <c r="N17" t="s">
        <v>52</v>
      </c>
      <c r="O17" t="s">
        <v>54</v>
      </c>
      <c r="P17" s="5" t="s">
        <v>22</v>
      </c>
      <c r="Q17" t="s">
        <v>56</v>
      </c>
      <c r="R17" t="s">
        <v>57</v>
      </c>
      <c r="S17" t="s">
        <v>58</v>
      </c>
    </row>
    <row r="18" spans="1:19" x14ac:dyDescent="0.3">
      <c r="A18" s="7">
        <v>40302027</v>
      </c>
      <c r="B18" s="7">
        <v>1223344572</v>
      </c>
      <c r="C18" s="5" t="s">
        <v>25</v>
      </c>
      <c r="D18" s="3">
        <v>602</v>
      </c>
      <c r="E18" s="5" t="s">
        <v>17</v>
      </c>
      <c r="F18" s="5" t="s">
        <v>24</v>
      </c>
      <c r="G18" t="str">
        <f>_xlfn.CONCAT(estudiantes[[#This Row],[CODIGO]],"@calasanzsuba.edu.co")</f>
        <v>40302027@calasanzsuba.edu.co</v>
      </c>
      <c r="H18" t="str">
        <f>_xlfn.CONCAT("Estudiante - ",estudiantes[[#This Row],[GRADO]],": ",estudiantes[[#This Row],[APELLIDOS]]," ",estudiantes[[#This Row],[NOMBRES]])</f>
        <v>Estudiante - Sexto: Serna Ballesteros Maria Paula</v>
      </c>
      <c r="I18" t="str">
        <f>_xlfn.CONCAT(estudiantes[[#This Row],[CODIGO]],"@calasanzsuba.edu.co")</f>
        <v>40302027@calasanzsuba.edu.co</v>
      </c>
      <c r="J18" s="5" t="s">
        <v>24</v>
      </c>
      <c r="K18" s="5" t="s">
        <v>17</v>
      </c>
      <c r="L18" s="7">
        <v>40302027</v>
      </c>
      <c r="M18" s="3">
        <v>602</v>
      </c>
      <c r="N18" t="s">
        <v>52</v>
      </c>
      <c r="O18" t="s">
        <v>55</v>
      </c>
      <c r="P18" s="5" t="s">
        <v>25</v>
      </c>
      <c r="Q18" t="s">
        <v>56</v>
      </c>
      <c r="R18" t="s">
        <v>57</v>
      </c>
      <c r="S18" t="s">
        <v>58</v>
      </c>
    </row>
    <row r="19" spans="1:19" x14ac:dyDescent="0.3">
      <c r="A19" s="7">
        <v>40302028</v>
      </c>
      <c r="B19" s="7">
        <v>1223344573</v>
      </c>
      <c r="C19" s="5" t="s">
        <v>28</v>
      </c>
      <c r="D19" s="3">
        <v>701</v>
      </c>
      <c r="E19" s="5" t="s">
        <v>20</v>
      </c>
      <c r="F19" s="5" t="s">
        <v>27</v>
      </c>
      <c r="G19" t="str">
        <f>_xlfn.CONCAT(estudiantes[[#This Row],[CODIGO]],"@calasanzsuba.edu.co")</f>
        <v>40302028@calasanzsuba.edu.co</v>
      </c>
      <c r="H19" t="str">
        <f>_xlfn.CONCAT("Estudiante - ",estudiantes[[#This Row],[GRADO]],": ",estudiantes[[#This Row],[APELLIDOS]]," ",estudiantes[[#This Row],[NOMBRES]])</f>
        <v>Estudiante - Septimo: Tellez Pedraza Erick Santiago</v>
      </c>
      <c r="I19" t="str">
        <f>_xlfn.CONCAT(estudiantes[[#This Row],[CODIGO]],"@calasanzsuba.edu.co")</f>
        <v>40302028@calasanzsuba.edu.co</v>
      </c>
      <c r="J19" s="5" t="s">
        <v>27</v>
      </c>
      <c r="K19" s="5" t="s">
        <v>20</v>
      </c>
      <c r="L19" s="7">
        <v>40302028</v>
      </c>
      <c r="M19" s="3">
        <v>701</v>
      </c>
      <c r="N19" t="s">
        <v>52</v>
      </c>
      <c r="O19" t="s">
        <v>55</v>
      </c>
      <c r="P19" s="5" t="s">
        <v>28</v>
      </c>
      <c r="Q19" t="s">
        <v>56</v>
      </c>
      <c r="R19" t="s">
        <v>57</v>
      </c>
      <c r="S19" t="s">
        <v>58</v>
      </c>
    </row>
    <row r="20" spans="1:19" x14ac:dyDescent="0.3">
      <c r="A20" s="7">
        <v>40302029</v>
      </c>
      <c r="B20" s="7">
        <v>1223344574</v>
      </c>
      <c r="C20" s="5" t="s">
        <v>31</v>
      </c>
      <c r="D20" s="3">
        <v>802</v>
      </c>
      <c r="E20" s="5" t="s">
        <v>23</v>
      </c>
      <c r="F20" s="5" t="s">
        <v>30</v>
      </c>
      <c r="G20" t="str">
        <f>_xlfn.CONCAT(estudiantes[[#This Row],[CODIGO]],"@calasanzsuba.edu.co")</f>
        <v>40302029@calasanzsuba.edu.co</v>
      </c>
      <c r="H20" t="str">
        <f>_xlfn.CONCAT("Estudiante - ",estudiantes[[#This Row],[GRADO]],": ",estudiantes[[#This Row],[APELLIDOS]]," ",estudiantes[[#This Row],[NOMBRES]])</f>
        <v>Estudiante - Octavo: Usma Niño Cristian David</v>
      </c>
      <c r="I20" t="str">
        <f>_xlfn.CONCAT(estudiantes[[#This Row],[CODIGO]],"@calasanzsuba.edu.co")</f>
        <v>40302029@calasanzsuba.edu.co</v>
      </c>
      <c r="J20" s="5" t="s">
        <v>30</v>
      </c>
      <c r="K20" s="5" t="s">
        <v>23</v>
      </c>
      <c r="L20" s="7">
        <v>40302029</v>
      </c>
      <c r="M20" s="3">
        <v>802</v>
      </c>
      <c r="N20" t="s">
        <v>52</v>
      </c>
      <c r="O20" t="s">
        <v>55</v>
      </c>
      <c r="P20" s="5" t="s">
        <v>31</v>
      </c>
      <c r="Q20" t="s">
        <v>56</v>
      </c>
      <c r="R20" t="s">
        <v>57</v>
      </c>
      <c r="S20" t="s">
        <v>58</v>
      </c>
    </row>
    <row r="21" spans="1:19" x14ac:dyDescent="0.3">
      <c r="A21" s="7">
        <v>40302030</v>
      </c>
      <c r="B21" s="7">
        <v>1223344575</v>
      </c>
      <c r="C21" s="5" t="s">
        <v>34</v>
      </c>
      <c r="D21" s="3">
        <v>903</v>
      </c>
      <c r="E21" s="5" t="s">
        <v>14</v>
      </c>
      <c r="F21" s="5" t="s">
        <v>33</v>
      </c>
      <c r="G21" t="str">
        <f>_xlfn.CONCAT(estudiantes[[#This Row],[CODIGO]],"@calasanzsuba.edu.co")</f>
        <v>40302030@calasanzsuba.edu.co</v>
      </c>
      <c r="H21" t="str">
        <f>_xlfn.CONCAT("Estudiante - ",estudiantes[[#This Row],[GRADO]],": ",estudiantes[[#This Row],[APELLIDOS]]," ",estudiantes[[#This Row],[NOMBRES]])</f>
        <v xml:space="preserve">Estudiante - Undécimo: Sarmiento Cantor Nicolas </v>
      </c>
      <c r="I21" t="str">
        <f>_xlfn.CONCAT(estudiantes[[#This Row],[CODIGO]],"@calasanzsuba.edu.co")</f>
        <v>40302030@calasanzsuba.edu.co</v>
      </c>
      <c r="J21" s="5" t="s">
        <v>33</v>
      </c>
      <c r="K21" s="5" t="s">
        <v>14</v>
      </c>
      <c r="L21" s="7">
        <v>40302030</v>
      </c>
      <c r="M21" s="3">
        <v>903</v>
      </c>
      <c r="N21" t="s">
        <v>52</v>
      </c>
      <c r="P21" s="5" t="s">
        <v>34</v>
      </c>
      <c r="Q21" t="s">
        <v>56</v>
      </c>
      <c r="R21" t="s">
        <v>57</v>
      </c>
      <c r="S21" t="s">
        <v>58</v>
      </c>
    </row>
    <row r="22" spans="1:19" x14ac:dyDescent="0.3">
      <c r="A22" s="7">
        <v>40302031</v>
      </c>
      <c r="B22" s="7">
        <v>1223344576</v>
      </c>
      <c r="C22" s="5" t="s">
        <v>6</v>
      </c>
      <c r="D22" s="4" t="s">
        <v>7</v>
      </c>
      <c r="E22" s="5" t="s">
        <v>17</v>
      </c>
      <c r="F22" s="5" t="s">
        <v>36</v>
      </c>
      <c r="G22" t="str">
        <f>_xlfn.CONCAT(estudiantes[[#This Row],[CODIGO]],"@calasanzsuba.edu.co")</f>
        <v>40302031@calasanzsuba.edu.co</v>
      </c>
      <c r="H22" t="str">
        <f>_xlfn.CONCAT("Estudiante - ",estudiantes[[#This Row],[GRADO]],": ",estudiantes[[#This Row],[APELLIDOS]]," ",estudiantes[[#This Row],[NOMBRES]])</f>
        <v>Estudiante - Transicion: Serna Ballesteros German Alfonso</v>
      </c>
      <c r="I22" t="str">
        <f>_xlfn.CONCAT(estudiantes[[#This Row],[CODIGO]],"@calasanzsuba.edu.co")</f>
        <v>40302031@calasanzsuba.edu.co</v>
      </c>
      <c r="J22" s="5" t="s">
        <v>36</v>
      </c>
      <c r="K22" s="5" t="s">
        <v>17</v>
      </c>
      <c r="L22" s="7">
        <v>40302031</v>
      </c>
      <c r="M22" s="4" t="s">
        <v>7</v>
      </c>
      <c r="N22" t="s">
        <v>52</v>
      </c>
      <c r="O22" t="s">
        <v>53</v>
      </c>
      <c r="P22" s="5" t="s">
        <v>6</v>
      </c>
      <c r="Q22" t="s">
        <v>56</v>
      </c>
      <c r="R22" t="s">
        <v>57</v>
      </c>
      <c r="S22" t="s">
        <v>58</v>
      </c>
    </row>
    <row r="23" spans="1:19" x14ac:dyDescent="0.3">
      <c r="A23" s="7">
        <v>40302032</v>
      </c>
      <c r="B23" s="7">
        <v>1223344577</v>
      </c>
      <c r="C23" s="5" t="s">
        <v>10</v>
      </c>
      <c r="D23" s="3">
        <v>101</v>
      </c>
      <c r="E23" s="5" t="s">
        <v>8</v>
      </c>
      <c r="F23" s="5" t="s">
        <v>30</v>
      </c>
      <c r="G23" t="str">
        <f>_xlfn.CONCAT(estudiantes[[#This Row],[CODIGO]],"@calasanzsuba.edu.co")</f>
        <v>40302032@calasanzsuba.edu.co</v>
      </c>
      <c r="H23" t="str">
        <f>_xlfn.CONCAT("Estudiante - ",estudiantes[[#This Row],[GRADO]],": ",estudiantes[[#This Row],[APELLIDOS]]," ",estudiantes[[#This Row],[NOMBRES]])</f>
        <v>Estudiante - Primero: Rozo Pineda Cristian David</v>
      </c>
      <c r="I23" t="str">
        <f>_xlfn.CONCAT(estudiantes[[#This Row],[CODIGO]],"@calasanzsuba.edu.co")</f>
        <v>40302032@calasanzsuba.edu.co</v>
      </c>
      <c r="J23" s="5" t="s">
        <v>30</v>
      </c>
      <c r="K23" s="5" t="s">
        <v>8</v>
      </c>
      <c r="L23" s="7">
        <v>40302032</v>
      </c>
      <c r="M23" s="3">
        <v>101</v>
      </c>
      <c r="N23" t="s">
        <v>52</v>
      </c>
      <c r="O23" t="s">
        <v>53</v>
      </c>
      <c r="P23" s="5" t="s">
        <v>10</v>
      </c>
      <c r="Q23" t="s">
        <v>56</v>
      </c>
      <c r="R23" t="s">
        <v>57</v>
      </c>
      <c r="S23" t="s">
        <v>58</v>
      </c>
    </row>
    <row r="24" spans="1:19" x14ac:dyDescent="0.3">
      <c r="A24" s="7">
        <v>40302033</v>
      </c>
      <c r="B24" s="7">
        <v>1223344578</v>
      </c>
      <c r="C24" s="5" t="s">
        <v>13</v>
      </c>
      <c r="D24" s="3">
        <v>201</v>
      </c>
      <c r="E24" s="5" t="s">
        <v>11</v>
      </c>
      <c r="F24" s="5" t="s">
        <v>33</v>
      </c>
      <c r="G24" t="str">
        <f>_xlfn.CONCAT(estudiantes[[#This Row],[CODIGO]],"@calasanzsuba.edu.co")</f>
        <v>40302033@calasanzsuba.edu.co</v>
      </c>
      <c r="H24" t="str">
        <f>_xlfn.CONCAT("Estudiante - ",estudiantes[[#This Row],[GRADO]],": ",estudiantes[[#This Row],[APELLIDOS]]," ",estudiantes[[#This Row],[NOMBRES]])</f>
        <v xml:space="preserve">Estudiante - Segundo: Sanchez Mosquera Nicolas </v>
      </c>
      <c r="I24" t="str">
        <f>_xlfn.CONCAT(estudiantes[[#This Row],[CODIGO]],"@calasanzsuba.edu.co")</f>
        <v>40302033@calasanzsuba.edu.co</v>
      </c>
      <c r="J24" s="5" t="s">
        <v>33</v>
      </c>
      <c r="K24" s="5" t="s">
        <v>11</v>
      </c>
      <c r="L24" s="7">
        <v>40302033</v>
      </c>
      <c r="M24" s="3">
        <v>201</v>
      </c>
      <c r="N24" t="s">
        <v>52</v>
      </c>
      <c r="O24" t="s">
        <v>53</v>
      </c>
      <c r="P24" s="5" t="s">
        <v>13</v>
      </c>
      <c r="Q24" t="s">
        <v>56</v>
      </c>
      <c r="R24" t="s">
        <v>57</v>
      </c>
      <c r="S24" t="s">
        <v>58</v>
      </c>
    </row>
    <row r="25" spans="1:19" x14ac:dyDescent="0.3">
      <c r="A25" s="7">
        <v>40302034</v>
      </c>
      <c r="B25" s="7">
        <v>1223344579</v>
      </c>
      <c r="C25" s="5" t="s">
        <v>16</v>
      </c>
      <c r="D25" s="3">
        <v>302</v>
      </c>
      <c r="E25" s="5" t="s">
        <v>14</v>
      </c>
      <c r="F25" s="5" t="s">
        <v>36</v>
      </c>
      <c r="G25" t="str">
        <f>_xlfn.CONCAT(estudiantes[[#This Row],[CODIGO]],"@calasanzsuba.edu.co")</f>
        <v>40302034@calasanzsuba.edu.co</v>
      </c>
      <c r="H25" t="str">
        <f>_xlfn.CONCAT("Estudiante - ",estudiantes[[#This Row],[GRADO]],": ",estudiantes[[#This Row],[APELLIDOS]]," ",estudiantes[[#This Row],[NOMBRES]])</f>
        <v>Estudiante - Tercero: Sarmiento Cantor German Alfonso</v>
      </c>
      <c r="I25" t="str">
        <f>_xlfn.CONCAT(estudiantes[[#This Row],[CODIGO]],"@calasanzsuba.edu.co")</f>
        <v>40302034@calasanzsuba.edu.co</v>
      </c>
      <c r="J25" s="5" t="s">
        <v>36</v>
      </c>
      <c r="K25" s="5" t="s">
        <v>14</v>
      </c>
      <c r="L25" s="7">
        <v>40302034</v>
      </c>
      <c r="M25" s="3">
        <v>302</v>
      </c>
      <c r="N25" t="s">
        <v>52</v>
      </c>
      <c r="O25" t="s">
        <v>54</v>
      </c>
      <c r="P25" s="5" t="s">
        <v>16</v>
      </c>
      <c r="Q25" t="s">
        <v>56</v>
      </c>
      <c r="R25" t="s">
        <v>57</v>
      </c>
      <c r="S25" t="s">
        <v>58</v>
      </c>
    </row>
    <row r="26" spans="1:19" x14ac:dyDescent="0.3">
      <c r="A26" s="7">
        <v>40302035</v>
      </c>
      <c r="B26" s="7">
        <v>1223344580</v>
      </c>
      <c r="C26" s="5" t="s">
        <v>19</v>
      </c>
      <c r="D26" s="3">
        <v>401</v>
      </c>
      <c r="E26" s="5" t="s">
        <v>17</v>
      </c>
      <c r="F26" s="5" t="s">
        <v>37</v>
      </c>
      <c r="G26" t="str">
        <f>_xlfn.CONCAT(estudiantes[[#This Row],[CODIGO]],"@calasanzsuba.edu.co")</f>
        <v>40302035@calasanzsuba.edu.co</v>
      </c>
      <c r="H26" t="str">
        <f>_xlfn.CONCAT("Estudiante - ",estudiantes[[#This Row],[GRADO]],": ",estudiantes[[#This Row],[APELLIDOS]]," ",estudiantes[[#This Row],[NOMBRES]])</f>
        <v>Estudiante - Cuarto: Serna Ballesteros Maria Andrea</v>
      </c>
      <c r="I26" t="str">
        <f>_xlfn.CONCAT(estudiantes[[#This Row],[CODIGO]],"@calasanzsuba.edu.co")</f>
        <v>40302035@calasanzsuba.edu.co</v>
      </c>
      <c r="J26" s="5" t="s">
        <v>37</v>
      </c>
      <c r="K26" s="5" t="s">
        <v>17</v>
      </c>
      <c r="L26" s="7">
        <v>40302035</v>
      </c>
      <c r="M26" s="3">
        <v>401</v>
      </c>
      <c r="N26" t="s">
        <v>52</v>
      </c>
      <c r="O26" t="s">
        <v>54</v>
      </c>
      <c r="P26" s="5" t="s">
        <v>19</v>
      </c>
      <c r="Q26" t="s">
        <v>56</v>
      </c>
      <c r="R26" t="s">
        <v>57</v>
      </c>
      <c r="S26" t="s">
        <v>58</v>
      </c>
    </row>
    <row r="27" spans="1:19" x14ac:dyDescent="0.3">
      <c r="A27" s="7">
        <v>40302036</v>
      </c>
      <c r="B27" s="7">
        <v>1223344581</v>
      </c>
      <c r="C27" s="5" t="s">
        <v>22</v>
      </c>
      <c r="D27" s="3">
        <v>502</v>
      </c>
      <c r="E27" s="5" t="s">
        <v>26</v>
      </c>
      <c r="F27" s="5" t="s">
        <v>15</v>
      </c>
      <c r="G27" t="str">
        <f>_xlfn.CONCAT(estudiantes[[#This Row],[CODIGO]],"@calasanzsuba.edu.co")</f>
        <v>40302036@calasanzsuba.edu.co</v>
      </c>
      <c r="H27" t="str">
        <f>_xlfn.CONCAT("Estudiante - ",estudiantes[[#This Row],[GRADO]],": ",estudiantes[[#This Row],[APELLIDOS]]," ",estudiantes[[#This Row],[NOMBRES]])</f>
        <v>Estudiante - Quinto: Valbuena Gamboa Miguel Santiago</v>
      </c>
      <c r="I27" t="str">
        <f>_xlfn.CONCAT(estudiantes[[#This Row],[CODIGO]],"@calasanzsuba.edu.co")</f>
        <v>40302036@calasanzsuba.edu.co</v>
      </c>
      <c r="J27" s="5" t="s">
        <v>15</v>
      </c>
      <c r="K27" s="5" t="s">
        <v>26</v>
      </c>
      <c r="L27" s="7">
        <v>40302036</v>
      </c>
      <c r="M27" s="3">
        <v>502</v>
      </c>
      <c r="N27" t="s">
        <v>52</v>
      </c>
      <c r="O27" t="s">
        <v>54</v>
      </c>
      <c r="P27" s="5" t="s">
        <v>22</v>
      </c>
      <c r="Q27" t="s">
        <v>56</v>
      </c>
      <c r="R27" t="s">
        <v>57</v>
      </c>
      <c r="S27" t="s">
        <v>58</v>
      </c>
    </row>
    <row r="28" spans="1:19" x14ac:dyDescent="0.3">
      <c r="A28" s="7">
        <v>40302037</v>
      </c>
      <c r="B28" s="7">
        <v>1223344582</v>
      </c>
      <c r="C28" s="5" t="s">
        <v>25</v>
      </c>
      <c r="D28" s="3">
        <v>602</v>
      </c>
      <c r="E28" s="5" t="s">
        <v>29</v>
      </c>
      <c r="F28" s="5" t="s">
        <v>18</v>
      </c>
      <c r="G28" t="str">
        <f>_xlfn.CONCAT(estudiantes[[#This Row],[CODIGO]],"@calasanzsuba.edu.co")</f>
        <v>40302037@calasanzsuba.edu.co</v>
      </c>
      <c r="H28" t="str">
        <f>_xlfn.CONCAT("Estudiante - ",estudiantes[[#This Row],[GRADO]],": ",estudiantes[[#This Row],[APELLIDOS]]," ",estudiantes[[#This Row],[NOMBRES]])</f>
        <v xml:space="preserve">Estudiante - Sexto: Velasquez Ortiz Alejandra </v>
      </c>
      <c r="I28" t="str">
        <f>_xlfn.CONCAT(estudiantes[[#This Row],[CODIGO]],"@calasanzsuba.edu.co")</f>
        <v>40302037@calasanzsuba.edu.co</v>
      </c>
      <c r="J28" s="5" t="s">
        <v>18</v>
      </c>
      <c r="K28" s="5" t="s">
        <v>29</v>
      </c>
      <c r="L28" s="7">
        <v>40302037</v>
      </c>
      <c r="M28" s="3">
        <v>602</v>
      </c>
      <c r="N28" t="s">
        <v>52</v>
      </c>
      <c r="O28" t="s">
        <v>55</v>
      </c>
      <c r="P28" s="5" t="s">
        <v>25</v>
      </c>
      <c r="Q28" t="s">
        <v>56</v>
      </c>
      <c r="R28" t="s">
        <v>57</v>
      </c>
      <c r="S28" t="s">
        <v>58</v>
      </c>
    </row>
    <row r="29" spans="1:19" x14ac:dyDescent="0.3">
      <c r="A29" s="7">
        <v>40302038</v>
      </c>
      <c r="B29" s="7">
        <v>1223344583</v>
      </c>
      <c r="C29" s="5" t="s">
        <v>28</v>
      </c>
      <c r="D29" s="3">
        <v>701</v>
      </c>
      <c r="E29" s="5" t="s">
        <v>29</v>
      </c>
      <c r="F29" s="5" t="s">
        <v>15</v>
      </c>
      <c r="G29" t="str">
        <f>_xlfn.CONCAT(estudiantes[[#This Row],[CODIGO]],"@calasanzsuba.edu.co")</f>
        <v>40302038@calasanzsuba.edu.co</v>
      </c>
      <c r="H29" t="str">
        <f>_xlfn.CONCAT("Estudiante - ",estudiantes[[#This Row],[GRADO]],": ",estudiantes[[#This Row],[APELLIDOS]]," ",estudiantes[[#This Row],[NOMBRES]])</f>
        <v>Estudiante - Septimo: Velasquez Ortiz Miguel Santiago</v>
      </c>
      <c r="I29" t="str">
        <f>_xlfn.CONCAT(estudiantes[[#This Row],[CODIGO]],"@calasanzsuba.edu.co")</f>
        <v>40302038@calasanzsuba.edu.co</v>
      </c>
      <c r="J29" s="5" t="s">
        <v>15</v>
      </c>
      <c r="K29" s="5" t="s">
        <v>29</v>
      </c>
      <c r="L29" s="7">
        <v>40302038</v>
      </c>
      <c r="M29" s="3">
        <v>701</v>
      </c>
      <c r="N29" t="s">
        <v>52</v>
      </c>
      <c r="O29" t="s">
        <v>55</v>
      </c>
      <c r="P29" s="5" t="s">
        <v>28</v>
      </c>
      <c r="Q29" t="s">
        <v>56</v>
      </c>
      <c r="R29" t="s">
        <v>57</v>
      </c>
      <c r="S29" t="s">
        <v>58</v>
      </c>
    </row>
    <row r="30" spans="1:19" x14ac:dyDescent="0.3">
      <c r="A30" s="7">
        <v>40302039</v>
      </c>
      <c r="B30" s="7">
        <v>1223344584</v>
      </c>
      <c r="C30" s="5" t="s">
        <v>31</v>
      </c>
      <c r="D30" s="3">
        <v>802</v>
      </c>
      <c r="E30" s="5" t="s">
        <v>32</v>
      </c>
      <c r="F30" s="5" t="s">
        <v>18</v>
      </c>
      <c r="G30" t="str">
        <f>_xlfn.CONCAT(estudiantes[[#This Row],[CODIGO]],"@calasanzsuba.edu.co")</f>
        <v>40302039@calasanzsuba.edu.co</v>
      </c>
      <c r="H30" t="str">
        <f>_xlfn.CONCAT("Estudiante - ",estudiantes[[#This Row],[GRADO]],": ",estudiantes[[#This Row],[APELLIDOS]]," ",estudiantes[[#This Row],[NOMBRES]])</f>
        <v xml:space="preserve">Estudiante - Octavo: Vera Molano Alejandra </v>
      </c>
      <c r="I30" t="str">
        <f>_xlfn.CONCAT(estudiantes[[#This Row],[CODIGO]],"@calasanzsuba.edu.co")</f>
        <v>40302039@calasanzsuba.edu.co</v>
      </c>
      <c r="J30" s="5" t="s">
        <v>18</v>
      </c>
      <c r="K30" s="5" t="s">
        <v>32</v>
      </c>
      <c r="L30" s="7">
        <v>40302039</v>
      </c>
      <c r="M30" s="3">
        <v>802</v>
      </c>
      <c r="N30" t="s">
        <v>52</v>
      </c>
      <c r="O30" t="s">
        <v>55</v>
      </c>
      <c r="P30" s="5" t="s">
        <v>31</v>
      </c>
      <c r="Q30" t="s">
        <v>56</v>
      </c>
      <c r="R30" t="s">
        <v>57</v>
      </c>
      <c r="S30" t="s">
        <v>58</v>
      </c>
    </row>
  </sheetData>
  <phoneticPr fontId="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EstudiantesNuevos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CCS - Soporte Tecnico: Dany Ernesto Diaz</cp:lastModifiedBy>
  <dcterms:created xsi:type="dcterms:W3CDTF">2025-07-17T20:54:48Z</dcterms:created>
  <dcterms:modified xsi:type="dcterms:W3CDTF">2025-09-06T20:36:56Z</dcterms:modified>
</cp:coreProperties>
</file>